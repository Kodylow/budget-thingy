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ckeo130@cable.comcast.com/Downloads/"/>
    </mc:Choice>
  </mc:AlternateContent>
  <xr:revisionPtr revIDLastSave="0" documentId="13_ncr:1_{62116E36-B4CB-8742-9A81-79DF99372E38}" xr6:coauthVersionLast="47" xr6:coauthVersionMax="47" xr10:uidLastSave="{00000000-0000-0000-0000-000000000000}"/>
  <bookViews>
    <workbookView xWindow="4360" yWindow="2760" windowWidth="27640" windowHeight="16680" xr2:uid="{985ED3AA-B6F7-1E41-BBA4-8DA6C67C900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 a="1"/>
  <c r="C2" i="1"/>
  <c r="C3" i="1" a="1"/>
  <c r="C3" i="1"/>
  <c r="C4" i="1" a="1"/>
  <c r="C4" i="1"/>
  <c r="C5" i="1" a="1"/>
  <c r="C5" i="1"/>
  <c r="C6" i="1" a="1"/>
  <c r="C6" i="1"/>
  <c r="C7" i="1" a="1"/>
  <c r="C7" i="1"/>
  <c r="C8" i="1" a="1"/>
  <c r="C8" i="1"/>
  <c r="C9" i="1" a="1"/>
  <c r="C9" i="1"/>
  <c r="C10" i="1" a="1"/>
  <c r="C10" i="1"/>
  <c r="C11" i="1" a="1"/>
  <c r="C11" i="1"/>
  <c r="C12" i="1" a="1"/>
  <c r="C12" i="1"/>
  <c r="C13" i="1" a="1"/>
  <c r="C13" i="1"/>
  <c r="C14" i="1" a="1"/>
  <c r="C14" i="1"/>
  <c r="C15" i="1" a="1"/>
  <c r="C15" i="1"/>
  <c r="C16" i="1" a="1"/>
  <c r="C16" i="1"/>
  <c r="C17" i="1" a="1"/>
  <c r="C17" i="1"/>
  <c r="C18" i="1" a="1"/>
  <c r="C18" i="1"/>
  <c r="C19" i="1" a="1"/>
  <c r="C19" i="1"/>
  <c r="C20" i="1" a="1"/>
  <c r="C20" i="1"/>
  <c r="C21" i="1" a="1"/>
  <c r="C21" i="1"/>
  <c r="C22" i="1" a="1"/>
  <c r="C22" i="1"/>
  <c r="C23" i="1" a="1"/>
  <c r="C23" i="1"/>
  <c r="C24" i="1" a="1"/>
  <c r="C24" i="1"/>
  <c r="C25" i="1" a="1"/>
  <c r="C25" i="1"/>
  <c r="C26" i="1" a="1"/>
  <c r="C26" i="1"/>
  <c r="C27" i="1" a="1"/>
  <c r="C27" i="1"/>
  <c r="C28" i="1" a="1"/>
  <c r="C28" i="1"/>
  <c r="C29" i="1" a="1"/>
  <c r="C29" i="1"/>
  <c r="C30" i="1" a="1"/>
  <c r="C30" i="1"/>
  <c r="C31" i="1" a="1"/>
  <c r="C31" i="1"/>
  <c r="C32" i="1" a="1"/>
  <c r="C32" i="1"/>
  <c r="C33" i="1" a="1"/>
  <c r="C33" i="1"/>
  <c r="C34" i="1" a="1"/>
  <c r="C34" i="1"/>
  <c r="C35" i="1" a="1"/>
  <c r="C35" i="1"/>
  <c r="C36" i="1" a="1"/>
  <c r="C36" i="1"/>
  <c r="C37" i="1" a="1"/>
  <c r="C37" i="1"/>
  <c r="C38" i="1" a="1"/>
  <c r="C38" i="1"/>
  <c r="C39" i="1" a="1"/>
  <c r="C39" i="1"/>
  <c r="C40" i="1" a="1"/>
  <c r="C40" i="1"/>
  <c r="C41" i="1" a="1"/>
  <c r="C41" i="1"/>
  <c r="C42" i="1" a="1"/>
  <c r="C42" i="1"/>
  <c r="C43" i="1" a="1"/>
  <c r="C43" i="1"/>
  <c r="C44" i="1" a="1"/>
  <c r="C44" i="1"/>
  <c r="C45" i="1" a="1"/>
  <c r="C45" i="1"/>
  <c r="C46" i="1" a="1"/>
  <c r="C46" i="1"/>
  <c r="C47" i="1" a="1"/>
  <c r="C47" i="1"/>
  <c r="C48" i="1" a="1"/>
  <c r="C48" i="1"/>
  <c r="C49" i="1" a="1"/>
  <c r="C49" i="1"/>
  <c r="C50" i="1" a="1"/>
  <c r="C50" i="1"/>
  <c r="C51" i="1" a="1"/>
  <c r="C51" i="1"/>
  <c r="C52" i="1" a="1"/>
  <c r="C52" i="1"/>
  <c r="C53" i="1" a="1"/>
  <c r="C53" i="1"/>
  <c r="C54" i="1" a="1"/>
  <c r="C54" i="1"/>
  <c r="C55" i="1" a="1"/>
  <c r="C55" i="1"/>
  <c r="C56" i="1" a="1"/>
  <c r="C56" i="1"/>
  <c r="C57" i="1" a="1"/>
  <c r="C57" i="1"/>
  <c r="C58" i="1" a="1"/>
  <c r="C58" i="1"/>
  <c r="C59" i="1" a="1"/>
  <c r="C59" i="1"/>
  <c r="C60" i="1" a="1"/>
  <c r="C60" i="1"/>
  <c r="C61" i="1" a="1"/>
  <c r="C61" i="1"/>
  <c r="C62" i="1" a="1"/>
  <c r="C62" i="1"/>
  <c r="C63" i="1" a="1"/>
  <c r="C63" i="1"/>
  <c r="C64" i="1" a="1"/>
  <c r="C64" i="1"/>
  <c r="C65" i="1" a="1"/>
  <c r="C65" i="1"/>
  <c r="C66" i="1" a="1"/>
  <c r="C66" i="1"/>
  <c r="C67" i="1" a="1"/>
  <c r="C67" i="1"/>
  <c r="C68" i="1" a="1"/>
  <c r="C68" i="1"/>
  <c r="C69" i="1" a="1"/>
  <c r="C69" i="1"/>
  <c r="C70" i="1" a="1"/>
  <c r="C70" i="1"/>
  <c r="C71" i="1" a="1"/>
  <c r="C71" i="1"/>
  <c r="C72" i="1" a="1"/>
  <c r="C72" i="1"/>
  <c r="C73" i="1" a="1"/>
  <c r="C73" i="1"/>
  <c r="C74" i="1" a="1"/>
  <c r="C7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<sst xmlns="http://schemas.openxmlformats.org/spreadsheetml/2006/main" count="76" uniqueCount="76">
  <si>
    <t>Budget</t>
  </si>
  <si>
    <t>Team</t>
  </si>
  <si>
    <t>AZ-Replit - PREPROD-Admins</t>
  </si>
  <si>
    <t>AZ-Replit - PREPROD-Members</t>
  </si>
  <si>
    <t>AZ-Replit - PREPROD-Viewer</t>
  </si>
  <si>
    <t>AZ-Replit - PREPROD-Guests</t>
  </si>
  <si>
    <t>AZ-Replit - Finance - Admin</t>
  </si>
  <si>
    <t>AZ-Replit - Finance - Member</t>
  </si>
  <si>
    <t>AZ-Replit - Finance - Viewer</t>
  </si>
  <si>
    <t>AZ-Replit - GPO Connected Living - Admin</t>
  </si>
  <si>
    <t>AZ-Replit - GPO Connected Living - Member</t>
  </si>
  <si>
    <t>AZ-Replit - GPO Connected Living - Viewer</t>
  </si>
  <si>
    <t>AZ-Replit - GPO CTS - Admin</t>
  </si>
  <si>
    <t>AZ-Replit - GPO CTS - Member</t>
  </si>
  <si>
    <t>AZ-Replit - GPO CTS - Viewer</t>
  </si>
  <si>
    <t>AZ-Replit - GPO Creative Services - Admin</t>
  </si>
  <si>
    <t>AZ-Replit - GPO Creative Services - Member</t>
  </si>
  <si>
    <t>AZ-Replit - GPO Creative Services - Viewer</t>
  </si>
  <si>
    <t>AZ-Replit - Corporate Communications - Admin</t>
  </si>
  <si>
    <t>AZ-Replit - Corporate Communications - Member</t>
  </si>
  <si>
    <t>AZ-Replit - Corporate Communications - Viewer</t>
  </si>
  <si>
    <t>AZ-Replit - Freewheel - Admin</t>
  </si>
  <si>
    <t>AZ-Replit - Freewheel - Member</t>
  </si>
  <si>
    <t>AZ-Replit - Freewheel - Viewer</t>
  </si>
  <si>
    <t>AZ-Replit - Growth Strategy &amp; Operations - Admin</t>
  </si>
  <si>
    <t>AZ-Replit - Growth Strategy &amp; Operations - Member</t>
  </si>
  <si>
    <t>AZ-Replit - Growth Strategy &amp; Operations - Viewer</t>
  </si>
  <si>
    <t>AZ-Replit - Growth Xfinity Consumer Product Marketing - Admin</t>
  </si>
  <si>
    <t>AZ-Replit - Growth Xfinity Consumer Product Marketing - Member</t>
  </si>
  <si>
    <t>AZ-Replit - Growth Xfinity Consumer Product Marketing - Viewer</t>
  </si>
  <si>
    <t>AZ-Replit - Growth CXSO Account Mgmt - Admin</t>
  </si>
  <si>
    <t>AZ-Replit - Growth CXSO Account Mgmt - Member</t>
  </si>
  <si>
    <t>AZ-Replit - Growth CXSO Account Mgmt - Viewer</t>
  </si>
  <si>
    <t>AZ-Replit - Growth MDU - Admin</t>
  </si>
  <si>
    <t>AZ-Replit - Growth MDU - Member</t>
  </si>
  <si>
    <t>AZ-Replit - Growth MDU - Viewer</t>
  </si>
  <si>
    <t>AZ-Replit - Strategic Development Mosaic - Admin</t>
  </si>
  <si>
    <t>AZ-Replit - Strategic Development Mosaic - Member</t>
  </si>
  <si>
    <t>AZ-Replit - Strategic Development Mosaic - Viewer</t>
  </si>
  <si>
    <t>AZ-Replit - Strategic Development LIFT Labs - Admin</t>
  </si>
  <si>
    <t>AZ-Replit - Strategic Development LIFT Labs - Member</t>
  </si>
  <si>
    <t>AZ-Replit - Strategic Development LIFT Labs - Viewer</t>
  </si>
  <si>
    <t>AZ-Replit - Comcast Business Marketing - Admin</t>
  </si>
  <si>
    <t>AZ-Replit - Comcast Business Marketing - Member</t>
  </si>
  <si>
    <t>AZ-Replit - Comcast Business Marketing - Viewer</t>
  </si>
  <si>
    <t>AZ-Replit - Comcast Business Consumer Solutions - Admin</t>
  </si>
  <si>
    <t>AZ-Replit - Comcast Business Consumer Solutions - Member</t>
  </si>
  <si>
    <t>AZ-Replit - Comcast Business Consumer Solutions - Viewer</t>
  </si>
  <si>
    <t>AZ-Replit - Wireless - Admin</t>
  </si>
  <si>
    <t>AZ-Replit - Wireless - Member</t>
  </si>
  <si>
    <t>AZ-Replit - Wireless - Viewer</t>
  </si>
  <si>
    <t>AZ-Replit - EBI Enterprise Analytics - Admin</t>
  </si>
  <si>
    <t>AZ-Replit - EBI Enterprise Analytics - Member</t>
  </si>
  <si>
    <t>AZ-Replit - EBI Enterprise Analytics - Viewer</t>
  </si>
  <si>
    <t>AZ-Replit - EBI AI ML - Admin</t>
  </si>
  <si>
    <t>AZ-Replit - EBI AI ML - Member</t>
  </si>
  <si>
    <t>AZ-Replit - EBI AI ML - Viewer</t>
  </si>
  <si>
    <t>AZ-Replit - HR Compensation - Admin</t>
  </si>
  <si>
    <t>AZ-Replit - HR Compensation - Member</t>
  </si>
  <si>
    <t>AZ-Replit - HR Compensation - Viewer</t>
  </si>
  <si>
    <t>AZ-Replit - Content Acquisition - Admin</t>
  </si>
  <si>
    <t>AZ-Replit - Content Acquisition - Member</t>
  </si>
  <si>
    <t>AZ-Replit - Content Acquisition - Viewer</t>
  </si>
  <si>
    <t>AZ-Replit - TPX IT - Admin</t>
  </si>
  <si>
    <t>AZ-Replit - TPX IT - Member</t>
  </si>
  <si>
    <t>AZ-Replit - TPX IT - Viewer</t>
  </si>
  <si>
    <t>AZ-Replit - Talent and Learning - Admin</t>
  </si>
  <si>
    <t>AZ-Replit - Talent and Learning - Member</t>
  </si>
  <si>
    <t>AZ-Replit - Talent and Learning - Viewer</t>
  </si>
  <si>
    <t>AZ-Replit - Comcast Advertising - Admin</t>
  </si>
  <si>
    <t>AZ-Replit - Comcast Advertising - Member</t>
  </si>
  <si>
    <t>AZ-Replit - Comcast Advertising - Viewer</t>
  </si>
  <si>
    <t>AZ-Replit - NBCU - Admin</t>
  </si>
  <si>
    <t>AZ-Replit - NBCU - Member</t>
  </si>
  <si>
    <t>AZ-Replit - NBCU - Viewer</t>
  </si>
  <si>
    <t>Replit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</si>
</sst>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0" fontId="1" fillId="0" borderId="0" xfId="0" applyFont="1"/>
    <xf numFmtId="2" fontId="2" fillId="0" borderId="0" xfId="0" applyNumberFormat="1" applyFont="1"/>
    <xf numFmtId="2" fontId="0" fillId="2" borderId="0" xfId="0" applyNumberFormat="1" applyFill="1"/>
    <xf numFmtId="44" fontId="2" fillId="2" borderId="0" xfId="0" applyNumberFormat="1" applyFont="1" applyFill="1"/>
    <xf numFmtId="0" fontId="3" fillId="3" borderId="0" xfId="0" applyFont="1" applyFill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89AB5-6851-2E44-9FEF-3B56087C3DF4}">
  <dimension ref="A1:C74"/>
  <sheetViews>
    <sheetView tabSelected="1" workbookViewId="0">
      <pane ySplit="1" topLeftCell="A2" activePane="bottomLeft" state="frozen"/>
      <selection pane="bottomLeft" activeCell="A12" sqref="A12"/>
    </sheetView>
  </sheetViews>
  <sheetFormatPr baseColWidth="10" defaultColWidth="8.83203125" defaultRowHeight="16" x14ac:dyDescent="0.2"/>
  <cols>
    <col min="1" max="1" width="68.1640625" customWidth="1"/>
    <col min="2" max="2" width="12.83203125" style="1" bestFit="1" customWidth="1"/>
    <col min="3" max="3" width="21.1640625" customWidth="1"/>
  </cols>
  <sheetData>
    <row r="1" spans="1:3" x14ac:dyDescent="0.2">
      <c r="A1" s="6" t="s">
        <v>75</v>
      </c>
      <c r="B1" s="7" t="s">
        <v>0</v>
      </c>
      <c r="C1" s="6" t="s">
        <v>1</v>
      </c>
    </row>
    <row r="2" spans="1:3" x14ac:dyDescent="0.2">
      <c r="A2" t="s">
        <v>2</v>
      </c>
      <c r="B2" s="1">
        <v>0</v>
      </c>
      <c r="C2" t="str" cm="1">
        <f t="array" ref="C2">TRIM(INDEX(_xlfn.TEXTSPLIT(A2, "-"), 3))</f>
        <v>PREPROD</v>
      </c>
    </row>
    <row r="3" spans="1:3" x14ac:dyDescent="0.2">
      <c r="A3" t="s">
        <v>3</v>
      </c>
      <c r="B3" s="1">
        <v>0</v>
      </c>
      <c r="C3" t="str" cm="1">
        <f t="array" ref="C3">TRIM(INDEX(_xlfn.TEXTSPLIT(A3, "-"), 3))</f>
        <v>PREPROD</v>
      </c>
    </row>
    <row r="4" spans="1:3" x14ac:dyDescent="0.2">
      <c r="A4" t="s">
        <v>4</v>
      </c>
      <c r="B4" s="1">
        <v>0</v>
      </c>
      <c r="C4" t="str" cm="1">
        <f t="array" ref="C4">TRIM(INDEX(_xlfn.TEXTSPLIT(A4, "-"), 3))</f>
        <v>PREPROD</v>
      </c>
    </row>
    <row r="5" spans="1:3" x14ac:dyDescent="0.2">
      <c r="A5" s="2" t="s">
        <v>5</v>
      </c>
      <c r="B5" s="1">
        <v>0</v>
      </c>
      <c r="C5" t="str" cm="1">
        <f t="array" ref="C5">TRIM(INDEX(_xlfn.TEXTSPLIT(A5, "-"), 3))</f>
        <v>PREPROD</v>
      </c>
    </row>
    <row r="6" spans="1:3" x14ac:dyDescent="0.2">
      <c r="A6" t="s">
        <v>6</v>
      </c>
      <c r="B6" s="1">
        <v>0</v>
      </c>
      <c r="C6" t="str" cm="1">
        <f t="array" ref="C6">TRIM(INDEX(_xlfn.TEXTSPLIT(A6, "-"), 3))</f>
        <v>Finance</v>
      </c>
    </row>
    <row r="7" spans="1:3" x14ac:dyDescent="0.2">
      <c r="A7" t="s">
        <v>7</v>
      </c>
      <c r="B7" s="3">
        <v>140525.75730779918</v>
      </c>
      <c r="C7" t="str" cm="1">
        <f t="array" ref="C7">TRIM(INDEX(_xlfn.TEXTSPLIT(A7, "-"), 3))</f>
        <v>Finance</v>
      </c>
    </row>
    <row r="8" spans="1:3" x14ac:dyDescent="0.2">
      <c r="A8" t="s">
        <v>8</v>
      </c>
      <c r="B8" s="1">
        <v>0</v>
      </c>
      <c r="C8" t="str" cm="1">
        <f t="array" ref="C8">TRIM(INDEX(_xlfn.TEXTSPLIT(A8, "-"), 3))</f>
        <v>Finance</v>
      </c>
    </row>
    <row r="9" spans="1:3" x14ac:dyDescent="0.2">
      <c r="A9" t="s">
        <v>9</v>
      </c>
      <c r="B9" s="1">
        <v>0</v>
      </c>
      <c r="C9" t="str" cm="1">
        <f t="array" ref="C9">TRIM(INDEX(_xlfn.TEXTSPLIT(A9, "-"), 3))</f>
        <v>GPO Connected Living</v>
      </c>
    </row>
    <row r="10" spans="1:3" x14ac:dyDescent="0.2">
      <c r="A10" t="s">
        <v>10</v>
      </c>
      <c r="B10" s="4">
        <v>9368.3838205199463</v>
      </c>
      <c r="C10" t="str" cm="1">
        <f t="array" ref="C10">TRIM(INDEX(_xlfn.TEXTSPLIT(A10, "-"), 3))</f>
        <v>GPO Connected Living</v>
      </c>
    </row>
    <row r="11" spans="1:3" x14ac:dyDescent="0.2">
      <c r="A11" t="s">
        <v>11</v>
      </c>
      <c r="B11" s="1">
        <v>0</v>
      </c>
      <c r="C11" t="str" cm="1">
        <f t="array" ref="C11">TRIM(INDEX(_xlfn.TEXTSPLIT(A11, "-"), 3))</f>
        <v>GPO Connected Living</v>
      </c>
    </row>
    <row r="12" spans="1:3" x14ac:dyDescent="0.2">
      <c r="A12" t="s">
        <v>12</v>
      </c>
      <c r="B12" s="1">
        <v>0</v>
      </c>
      <c r="C12" t="str" cm="1">
        <f t="array" ref="C12">TRIM(INDEX(_xlfn.TEXTSPLIT(A12, "-"), 3))</f>
        <v>GPO CTS</v>
      </c>
    </row>
    <row r="13" spans="1:3" x14ac:dyDescent="0.2">
      <c r="A13" t="s">
        <v>13</v>
      </c>
      <c r="B13" s="4">
        <v>3747.3535282079788</v>
      </c>
      <c r="C13" t="str" cm="1">
        <f t="array" ref="C13">TRIM(INDEX(_xlfn.TEXTSPLIT(A13, "-"), 3))</f>
        <v>GPO CTS</v>
      </c>
    </row>
    <row r="14" spans="1:3" x14ac:dyDescent="0.2">
      <c r="A14" t="s">
        <v>14</v>
      </c>
      <c r="B14" s="1">
        <v>0</v>
      </c>
      <c r="C14" t="str" cm="1">
        <f t="array" ref="C14">TRIM(INDEX(_xlfn.TEXTSPLIT(A14, "-"), 3))</f>
        <v>GPO CTS</v>
      </c>
    </row>
    <row r="15" spans="1:3" x14ac:dyDescent="0.2">
      <c r="A15" t="s">
        <v>15</v>
      </c>
      <c r="B15" s="1">
        <v>0</v>
      </c>
      <c r="C15" t="str" cm="1">
        <f t="array" ref="C15">TRIM(INDEX(_xlfn.TEXTSPLIT(A15, "-"), 3))</f>
        <v>GPO Creative Services</v>
      </c>
    </row>
    <row r="16" spans="1:3" x14ac:dyDescent="0.2">
      <c r="A16" t="s">
        <v>16</v>
      </c>
      <c r="B16" s="5">
        <v>47422.75889947197</v>
      </c>
      <c r="C16" t="str" cm="1">
        <f t="array" ref="C16">TRIM(INDEX(_xlfn.TEXTSPLIT(A16, "-"), 3))</f>
        <v>GPO Creative Services</v>
      </c>
    </row>
    <row r="17" spans="1:3" x14ac:dyDescent="0.2">
      <c r="A17" t="s">
        <v>17</v>
      </c>
      <c r="B17" s="1">
        <v>0</v>
      </c>
      <c r="C17" t="str" cm="1">
        <f t="array" ref="C17">TRIM(INDEX(_xlfn.TEXTSPLIT(A17, "-"), 3))</f>
        <v>GPO Creative Services</v>
      </c>
    </row>
    <row r="18" spans="1:3" x14ac:dyDescent="0.2">
      <c r="A18" t="s">
        <v>18</v>
      </c>
      <c r="B18" s="1">
        <v>0</v>
      </c>
      <c r="C18" t="str" cm="1">
        <f t="array" ref="C18">TRIM(INDEX(_xlfn.TEXTSPLIT(A18, "-"), 3))</f>
        <v>Corporate Communications</v>
      </c>
    </row>
    <row r="19" spans="1:3" x14ac:dyDescent="0.2">
      <c r="A19" t="s">
        <v>19</v>
      </c>
      <c r="B19" s="1">
        <v>234209.59551299867</v>
      </c>
      <c r="C19" t="str" cm="1">
        <f t="array" ref="C19">TRIM(INDEX(_xlfn.TEXTSPLIT(A19, "-"), 3))</f>
        <v>Corporate Communications</v>
      </c>
    </row>
    <row r="20" spans="1:3" x14ac:dyDescent="0.2">
      <c r="A20" t="s">
        <v>20</v>
      </c>
      <c r="B20" s="1">
        <v>0</v>
      </c>
      <c r="C20" t="str" cm="1">
        <f t="array" ref="C20">TRIM(INDEX(_xlfn.TEXTSPLIT(A20, "-"), 3))</f>
        <v>Corporate Communications</v>
      </c>
    </row>
    <row r="21" spans="1:3" x14ac:dyDescent="0.2">
      <c r="A21" t="s">
        <v>21</v>
      </c>
      <c r="B21" s="1">
        <v>0</v>
      </c>
      <c r="C21" t="str" cm="1">
        <f t="array" ref="C21">TRIM(INDEX(_xlfn.TEXTSPLIT(A21, "-"), 3))</f>
        <v>Freewheel</v>
      </c>
    </row>
    <row r="22" spans="1:3" x14ac:dyDescent="0.2">
      <c r="A22" t="s">
        <v>22</v>
      </c>
      <c r="B22" s="1">
        <v>46841.919102599735</v>
      </c>
      <c r="C22" t="str" cm="1">
        <f t="array" ref="C22">TRIM(INDEX(_xlfn.TEXTSPLIT(A22, "-"), 3))</f>
        <v>Freewheel</v>
      </c>
    </row>
    <row r="23" spans="1:3" x14ac:dyDescent="0.2">
      <c r="A23" t="s">
        <v>23</v>
      </c>
      <c r="B23" s="1">
        <v>0</v>
      </c>
      <c r="C23" t="str" cm="1">
        <f t="array" ref="C23">TRIM(INDEX(_xlfn.TEXTSPLIT(A23, "-"), 3))</f>
        <v>Freewheel</v>
      </c>
    </row>
    <row r="24" spans="1:3" x14ac:dyDescent="0.2">
      <c r="A24" t="s">
        <v>24</v>
      </c>
      <c r="B24" s="1">
        <v>0</v>
      </c>
      <c r="C24" t="str" cm="1">
        <f t="array" ref="C24">TRIM(INDEX(_xlfn.TEXTSPLIT(A24, "-"), 3))</f>
        <v>Growth Strategy &amp; Operations</v>
      </c>
    </row>
    <row r="25" spans="1:3" x14ac:dyDescent="0.2">
      <c r="A25" t="s">
        <v>25</v>
      </c>
      <c r="B25" s="1">
        <v>18736.767641039893</v>
      </c>
      <c r="C25" t="str" cm="1">
        <f t="array" ref="C25">TRIM(INDEX(_xlfn.TEXTSPLIT(A25, "-"), 3))</f>
        <v>Growth Strategy &amp; Operations</v>
      </c>
    </row>
    <row r="26" spans="1:3" x14ac:dyDescent="0.2">
      <c r="A26" t="s">
        <v>26</v>
      </c>
      <c r="B26" s="1">
        <v>0</v>
      </c>
      <c r="C26" t="str" cm="1">
        <f t="array" ref="C26">TRIM(INDEX(_xlfn.TEXTSPLIT(A26, "-"), 3))</f>
        <v>Growth Strategy &amp; Operations</v>
      </c>
    </row>
    <row r="27" spans="1:3" x14ac:dyDescent="0.2">
      <c r="A27" t="s">
        <v>27</v>
      </c>
      <c r="B27" s="1">
        <v>0</v>
      </c>
      <c r="C27" t="str" cm="1">
        <f t="array" ref="C27">TRIM(INDEX(_xlfn.TEXTSPLIT(A27, "-"), 3))</f>
        <v>Growth Xfinity Consumer Product Marketing</v>
      </c>
    </row>
    <row r="28" spans="1:3" x14ac:dyDescent="0.2">
      <c r="A28" t="s">
        <v>28</v>
      </c>
      <c r="B28" s="1">
        <v>28105.151461559839</v>
      </c>
      <c r="C28" t="str" cm="1">
        <f t="array" ref="C28">TRIM(INDEX(_xlfn.TEXTSPLIT(A28, "-"), 3))</f>
        <v>Growth Xfinity Consumer Product Marketing</v>
      </c>
    </row>
    <row r="29" spans="1:3" x14ac:dyDescent="0.2">
      <c r="A29" t="s">
        <v>29</v>
      </c>
      <c r="B29" s="1">
        <v>0</v>
      </c>
      <c r="C29" t="str" cm="1">
        <f t="array" ref="C29">TRIM(INDEX(_xlfn.TEXTSPLIT(A29, "-"), 3))</f>
        <v>Growth Xfinity Consumer Product Marketing</v>
      </c>
    </row>
    <row r="30" spans="1:3" x14ac:dyDescent="0.2">
      <c r="A30" t="s">
        <v>30</v>
      </c>
      <c r="B30" s="1">
        <v>0</v>
      </c>
      <c r="C30" t="str" cm="1">
        <f t="array" ref="C30">TRIM(INDEX(_xlfn.TEXTSPLIT(A30, "-"), 3))</f>
        <v>Growth CXSO Account Mgmt</v>
      </c>
    </row>
    <row r="31" spans="1:3" x14ac:dyDescent="0.2">
      <c r="A31" t="s">
        <v>31</v>
      </c>
      <c r="B31" s="1">
        <v>37473.535282079785</v>
      </c>
      <c r="C31" t="str" cm="1">
        <f t="array" ref="C31">TRIM(INDEX(_xlfn.TEXTSPLIT(A31, "-"), 3))</f>
        <v>Growth CXSO Account Mgmt</v>
      </c>
    </row>
    <row r="32" spans="1:3" x14ac:dyDescent="0.2">
      <c r="A32" t="s">
        <v>32</v>
      </c>
      <c r="B32" s="1">
        <v>0</v>
      </c>
      <c r="C32" t="str" cm="1">
        <f t="array" ref="C32">TRIM(INDEX(_xlfn.TEXTSPLIT(A32, "-"), 3))</f>
        <v>Growth CXSO Account Mgmt</v>
      </c>
    </row>
    <row r="33" spans="1:3" x14ac:dyDescent="0.2">
      <c r="A33" t="s">
        <v>33</v>
      </c>
      <c r="B33" s="1">
        <v>0</v>
      </c>
      <c r="C33" t="str" cm="1">
        <f t="array" ref="C33">TRIM(INDEX(_xlfn.TEXTSPLIT(A33, "-"), 3))</f>
        <v>Growth MDU</v>
      </c>
    </row>
    <row r="34" spans="1:3" x14ac:dyDescent="0.2">
      <c r="A34" t="s">
        <v>34</v>
      </c>
      <c r="B34" s="1">
        <v>0</v>
      </c>
      <c r="C34" t="str" cm="1">
        <f t="array" ref="C34">TRIM(INDEX(_xlfn.TEXTSPLIT(A34, "-"), 3))</f>
        <v>Growth MDU</v>
      </c>
    </row>
    <row r="35" spans="1:3" x14ac:dyDescent="0.2">
      <c r="A35" t="s">
        <v>35</v>
      </c>
      <c r="B35" s="1">
        <v>0</v>
      </c>
      <c r="C35" t="str" cm="1">
        <f t="array" ref="C35">TRIM(INDEX(_xlfn.TEXTSPLIT(A35, "-"), 3))</f>
        <v>Growth MDU</v>
      </c>
    </row>
    <row r="36" spans="1:3" x14ac:dyDescent="0.2">
      <c r="A36" t="s">
        <v>36</v>
      </c>
      <c r="B36" s="1">
        <v>0</v>
      </c>
      <c r="C36" t="str" cm="1">
        <f t="array" ref="C36">TRIM(INDEX(_xlfn.TEXTSPLIT(A36, "-"), 3))</f>
        <v>Strategic Development Mosaic</v>
      </c>
    </row>
    <row r="37" spans="1:3" x14ac:dyDescent="0.2">
      <c r="A37" t="s">
        <v>37</v>
      </c>
      <c r="B37" s="1">
        <v>37473.535282079785</v>
      </c>
      <c r="C37" t="str" cm="1">
        <f t="array" ref="C37">TRIM(INDEX(_xlfn.TEXTSPLIT(A37, "-"), 3))</f>
        <v>Strategic Development Mosaic</v>
      </c>
    </row>
    <row r="38" spans="1:3" x14ac:dyDescent="0.2">
      <c r="A38" t="s">
        <v>38</v>
      </c>
      <c r="B38" s="1">
        <v>0</v>
      </c>
      <c r="C38" t="str" cm="1">
        <f t="array" ref="C38">TRIM(INDEX(_xlfn.TEXTSPLIT(A38, "-"), 3))</f>
        <v>Strategic Development Mosaic</v>
      </c>
    </row>
    <row r="39" spans="1:3" x14ac:dyDescent="0.2">
      <c r="A39" t="s">
        <v>39</v>
      </c>
      <c r="B39" s="1">
        <v>0</v>
      </c>
      <c r="C39" t="str" cm="1">
        <f t="array" ref="C39">TRIM(INDEX(_xlfn.TEXTSPLIT(A39, "-"), 3))</f>
        <v>Strategic Development LIFT Labs</v>
      </c>
    </row>
    <row r="40" spans="1:3" x14ac:dyDescent="0.2">
      <c r="A40" t="s">
        <v>40</v>
      </c>
      <c r="B40" s="1">
        <v>30000</v>
      </c>
      <c r="C40" t="str" cm="1">
        <f t="array" ref="C40">TRIM(INDEX(_xlfn.TEXTSPLIT(A40, "-"), 3))</f>
        <v>Strategic Development LIFT Labs</v>
      </c>
    </row>
    <row r="41" spans="1:3" x14ac:dyDescent="0.2">
      <c r="A41" t="s">
        <v>41</v>
      </c>
      <c r="B41" s="1">
        <v>0</v>
      </c>
      <c r="C41" t="str" cm="1">
        <f t="array" ref="C41">TRIM(INDEX(_xlfn.TEXTSPLIT(A41, "-"), 3))</f>
        <v>Strategic Development LIFT Labs</v>
      </c>
    </row>
    <row r="42" spans="1:3" x14ac:dyDescent="0.2">
      <c r="A42" t="s">
        <v>42</v>
      </c>
      <c r="B42" s="1">
        <v>0</v>
      </c>
      <c r="C42" t="str" cm="1">
        <f t="array" ref="C42">TRIM(INDEX(_xlfn.TEXTSPLIT(A42, "-"), 3))</f>
        <v>Comcast Business Marketing</v>
      </c>
    </row>
    <row r="43" spans="1:3" x14ac:dyDescent="0.2">
      <c r="A43" t="s">
        <v>43</v>
      </c>
      <c r="B43" s="1">
        <v>14052.575730779919</v>
      </c>
      <c r="C43" t="str" cm="1">
        <f t="array" ref="C43">TRIM(INDEX(_xlfn.TEXTSPLIT(A43, "-"), 3))</f>
        <v>Comcast Business Marketing</v>
      </c>
    </row>
    <row r="44" spans="1:3" x14ac:dyDescent="0.2">
      <c r="A44" t="s">
        <v>44</v>
      </c>
      <c r="B44" s="1">
        <v>0</v>
      </c>
      <c r="C44" t="str" cm="1">
        <f t="array" ref="C44">TRIM(INDEX(_xlfn.TEXTSPLIT(A44, "-"), 3))</f>
        <v>Comcast Business Marketing</v>
      </c>
    </row>
    <row r="45" spans="1:3" x14ac:dyDescent="0.2">
      <c r="A45" t="s">
        <v>45</v>
      </c>
      <c r="B45" s="1">
        <v>0</v>
      </c>
      <c r="C45" t="str" cm="1">
        <f t="array" ref="C45">TRIM(INDEX(_xlfn.TEXTSPLIT(A45, "-"), 3))</f>
        <v>Comcast Business Consumer Solutions</v>
      </c>
    </row>
    <row r="46" spans="1:3" x14ac:dyDescent="0.2">
      <c r="A46" t="s">
        <v>46</v>
      </c>
      <c r="B46" s="1">
        <v>37473.535282079785</v>
      </c>
      <c r="C46" t="str" cm="1">
        <f t="array" ref="C46">TRIM(INDEX(_xlfn.TEXTSPLIT(A46, "-"), 3))</f>
        <v>Comcast Business Consumer Solutions</v>
      </c>
    </row>
    <row r="47" spans="1:3" x14ac:dyDescent="0.2">
      <c r="A47" t="s">
        <v>47</v>
      </c>
      <c r="B47" s="1">
        <v>0</v>
      </c>
      <c r="C47" t="str" cm="1">
        <f t="array" ref="C47">TRIM(INDEX(_xlfn.TEXTSPLIT(A47, "-"), 3))</f>
        <v>Comcast Business Consumer Solutions</v>
      </c>
    </row>
    <row r="48" spans="1:3" x14ac:dyDescent="0.2">
      <c r="A48" t="s">
        <v>48</v>
      </c>
      <c r="B48" s="1">
        <v>0</v>
      </c>
      <c r="C48" t="str" cm="1">
        <f t="array" ref="C48">TRIM(INDEX(_xlfn.TEXTSPLIT(A48, "-"), 3))</f>
        <v>Wireless</v>
      </c>
    </row>
    <row r="49" spans="1:3" x14ac:dyDescent="0.2">
      <c r="A49" t="s">
        <v>49</v>
      </c>
      <c r="B49" s="1">
        <v>14052.575730779919</v>
      </c>
      <c r="C49" t="str" cm="1">
        <f t="array" ref="C49">TRIM(INDEX(_xlfn.TEXTSPLIT(A49, "-"), 3))</f>
        <v>Wireless</v>
      </c>
    </row>
    <row r="50" spans="1:3" x14ac:dyDescent="0.2">
      <c r="A50" t="s">
        <v>50</v>
      </c>
      <c r="B50" s="1">
        <v>0</v>
      </c>
      <c r="C50" t="str" cm="1">
        <f t="array" ref="C50">TRIM(INDEX(_xlfn.TEXTSPLIT(A50, "-"), 3))</f>
        <v>Wireless</v>
      </c>
    </row>
    <row r="51" spans="1:3" x14ac:dyDescent="0.2">
      <c r="A51" t="s">
        <v>51</v>
      </c>
      <c r="B51" s="1">
        <v>0</v>
      </c>
      <c r="C51" t="str" cm="1">
        <f t="array" ref="C51">TRIM(INDEX(_xlfn.TEXTSPLIT(A51, "-"), 3))</f>
        <v>EBI Enterprise Analytics</v>
      </c>
    </row>
    <row r="52" spans="1:3" x14ac:dyDescent="0.2">
      <c r="A52" t="s">
        <v>52</v>
      </c>
      <c r="B52" s="1">
        <v>9368.3838205199463</v>
      </c>
      <c r="C52" t="str" cm="1">
        <f t="array" ref="C52">TRIM(INDEX(_xlfn.TEXTSPLIT(A52, "-"), 3))</f>
        <v>EBI Enterprise Analytics</v>
      </c>
    </row>
    <row r="53" spans="1:3" x14ac:dyDescent="0.2">
      <c r="A53" t="s">
        <v>53</v>
      </c>
      <c r="B53" s="1">
        <v>0</v>
      </c>
      <c r="C53" t="str" cm="1">
        <f t="array" ref="C53">TRIM(INDEX(_xlfn.TEXTSPLIT(A53, "-"), 3))</f>
        <v>EBI Enterprise Analytics</v>
      </c>
    </row>
    <row r="54" spans="1:3" x14ac:dyDescent="0.2">
      <c r="A54" t="s">
        <v>54</v>
      </c>
      <c r="B54" s="1">
        <v>0</v>
      </c>
      <c r="C54" t="str" cm="1">
        <f t="array" ref="C54">TRIM(INDEX(_xlfn.TEXTSPLIT(A54, "-"), 3))</f>
        <v>EBI AI ML</v>
      </c>
    </row>
    <row r="55" spans="1:3" x14ac:dyDescent="0.2">
      <c r="A55" t="s">
        <v>55</v>
      </c>
      <c r="B55" s="1">
        <v>3747.3535282079788</v>
      </c>
      <c r="C55" t="str" cm="1">
        <f t="array" ref="C55">TRIM(INDEX(_xlfn.TEXTSPLIT(A55, "-"), 3))</f>
        <v>EBI AI ML</v>
      </c>
    </row>
    <row r="56" spans="1:3" x14ac:dyDescent="0.2">
      <c r="A56" t="s">
        <v>56</v>
      </c>
      <c r="B56" s="1">
        <v>0</v>
      </c>
      <c r="C56" t="str" cm="1">
        <f t="array" ref="C56">TRIM(INDEX(_xlfn.TEXTSPLIT(A56, "-"), 3))</f>
        <v>EBI AI ML</v>
      </c>
    </row>
    <row r="57" spans="1:3" x14ac:dyDescent="0.2">
      <c r="A57" t="s">
        <v>57</v>
      </c>
      <c r="B57" s="1">
        <v>0</v>
      </c>
      <c r="C57" t="str" cm="1">
        <f t="array" ref="C57">TRIM(INDEX(_xlfn.TEXTSPLIT(A57, "-"), 3))</f>
        <v>HR Compensation</v>
      </c>
    </row>
    <row r="58" spans="1:3" x14ac:dyDescent="0.2">
      <c r="A58" t="s">
        <v>58</v>
      </c>
      <c r="B58" s="1">
        <v>5621.030292311968</v>
      </c>
      <c r="C58" t="str" cm="1">
        <f t="array" ref="C58">TRIM(INDEX(_xlfn.TEXTSPLIT(A58, "-"), 3))</f>
        <v>HR Compensation</v>
      </c>
    </row>
    <row r="59" spans="1:3" x14ac:dyDescent="0.2">
      <c r="A59" t="s">
        <v>59</v>
      </c>
      <c r="B59" s="1">
        <v>0</v>
      </c>
      <c r="C59" t="str" cm="1">
        <f t="array" ref="C59">TRIM(INDEX(_xlfn.TEXTSPLIT(A59, "-"), 3))</f>
        <v>HR Compensation</v>
      </c>
    </row>
    <row r="60" spans="1:3" x14ac:dyDescent="0.2">
      <c r="A60" t="s">
        <v>60</v>
      </c>
      <c r="B60" s="1">
        <v>0</v>
      </c>
      <c r="C60" t="str" cm="1">
        <f t="array" ref="C60">TRIM(INDEX(_xlfn.TEXTSPLIT(A60, "-"), 3))</f>
        <v>Content Acquisition</v>
      </c>
    </row>
    <row r="61" spans="1:3" x14ac:dyDescent="0.2">
      <c r="A61" t="s">
        <v>61</v>
      </c>
      <c r="B61" s="1">
        <v>4684.1919102599732</v>
      </c>
      <c r="C61" t="str" cm="1">
        <f t="array" ref="C61">TRIM(INDEX(_xlfn.TEXTSPLIT(A61, "-"), 3))</f>
        <v>Content Acquisition</v>
      </c>
    </row>
    <row r="62" spans="1:3" x14ac:dyDescent="0.2">
      <c r="A62" t="s">
        <v>62</v>
      </c>
      <c r="B62" s="1">
        <v>0</v>
      </c>
      <c r="C62" t="str" cm="1">
        <f t="array" ref="C62">TRIM(INDEX(_xlfn.TEXTSPLIT(A62, "-"), 3))</f>
        <v>Content Acquisition</v>
      </c>
    </row>
    <row r="63" spans="1:3" x14ac:dyDescent="0.2">
      <c r="A63" t="s">
        <v>63</v>
      </c>
      <c r="B63" s="1">
        <v>0</v>
      </c>
      <c r="C63" t="str" cm="1">
        <f t="array" ref="C63">TRIM(INDEX(_xlfn.TEXTSPLIT(A63, "-"), 3))</f>
        <v>TPX IT</v>
      </c>
    </row>
    <row r="64" spans="1:3" x14ac:dyDescent="0.2">
      <c r="A64" t="s">
        <v>64</v>
      </c>
      <c r="B64" s="1">
        <v>1873.6767641039894</v>
      </c>
      <c r="C64" t="str" cm="1">
        <f t="array" ref="C64">TRIM(INDEX(_xlfn.TEXTSPLIT(A64, "-"), 3))</f>
        <v>TPX IT</v>
      </c>
    </row>
    <row r="65" spans="1:3" x14ac:dyDescent="0.2">
      <c r="A65" t="s">
        <v>65</v>
      </c>
      <c r="B65" s="1">
        <v>0</v>
      </c>
      <c r="C65" t="str" cm="1">
        <f t="array" ref="C65">TRIM(INDEX(_xlfn.TEXTSPLIT(A65, "-"), 3))</f>
        <v>TPX IT</v>
      </c>
    </row>
    <row r="66" spans="1:3" x14ac:dyDescent="0.2">
      <c r="A66" t="s">
        <v>66</v>
      </c>
      <c r="B66" s="1">
        <v>0</v>
      </c>
      <c r="C66" t="str" cm="1">
        <f t="array" ref="C66">TRIM(INDEX(_xlfn.TEXTSPLIT(A66, "-"), 3))</f>
        <v>Talent and Learning</v>
      </c>
    </row>
    <row r="67" spans="1:3" x14ac:dyDescent="0.2">
      <c r="A67" t="s">
        <v>67</v>
      </c>
      <c r="B67" s="3">
        <v>33726.18175387181</v>
      </c>
      <c r="C67" t="str" cm="1">
        <f t="array" ref="C67">TRIM(INDEX(_xlfn.TEXTSPLIT(A67, "-"), 3))</f>
        <v>Talent and Learning</v>
      </c>
    </row>
    <row r="68" spans="1:3" x14ac:dyDescent="0.2">
      <c r="A68" t="s">
        <v>68</v>
      </c>
      <c r="B68" s="1">
        <v>0</v>
      </c>
      <c r="C68" t="str" cm="1">
        <f t="array" ref="C68">TRIM(INDEX(_xlfn.TEXTSPLIT(A68, "-"), 3))</f>
        <v>Talent and Learning</v>
      </c>
    </row>
    <row r="69" spans="1:3" x14ac:dyDescent="0.2">
      <c r="A69" t="s">
        <v>69</v>
      </c>
      <c r="B69" s="1">
        <v>0</v>
      </c>
      <c r="C69" t="str" cm="1">
        <f t="array" ref="C69">TRIM(INDEX(_xlfn.TEXTSPLIT(A69, "-"), 3))</f>
        <v>Comcast Advertising</v>
      </c>
    </row>
    <row r="70" spans="1:3" x14ac:dyDescent="0.2">
      <c r="A70" t="s">
        <v>70</v>
      </c>
      <c r="B70" s="1">
        <v>13115.737348727926</v>
      </c>
      <c r="C70" t="str" cm="1">
        <f t="array" ref="C70">TRIM(INDEX(_xlfn.TEXTSPLIT(A70, "-"), 3))</f>
        <v>Comcast Advertising</v>
      </c>
    </row>
    <row r="71" spans="1:3" x14ac:dyDescent="0.2">
      <c r="A71" t="s">
        <v>71</v>
      </c>
      <c r="B71" s="1">
        <v>0</v>
      </c>
      <c r="C71" t="str" cm="1">
        <f t="array" ref="C71">TRIM(INDEX(_xlfn.TEXTSPLIT(A71, "-"), 3))</f>
        <v>Comcast Advertising</v>
      </c>
    </row>
    <row r="72" spans="1:3" x14ac:dyDescent="0.2">
      <c r="A72" t="s">
        <v>72</v>
      </c>
      <c r="B72" s="1">
        <v>0</v>
      </c>
      <c r="C72" t="str" cm="1">
        <f t="array" ref="C72">TRIM(INDEX(_xlfn.TEXTSPLIT(A72, "-"), 3))</f>
        <v>NBCU</v>
      </c>
    </row>
    <row r="73" spans="1:3" x14ac:dyDescent="0.2">
      <c r="A73" t="s">
        <v>73</v>
      </c>
      <c r="B73" s="1">
        <v>0</v>
      </c>
      <c r="C73" t="str" cm="1">
        <f t="array" ref="C73">TRIM(INDEX(_xlfn.TEXTSPLIT(A73, "-"), 3))</f>
        <v>NBCU</v>
      </c>
    </row>
    <row r="74" spans="1:3" x14ac:dyDescent="0.2">
      <c r="A74" t="s">
        <v>74</v>
      </c>
      <c r="B74" s="1">
        <v>0</v>
      </c>
      <c r="C74" t="str" cm="1">
        <f t="array" ref="C74">TRIM(INDEX(_xlfn.TEXTSPLIT(A74, "-"), 3))</f>
        <v>NBCU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Teuber, Katie</dc:creator>
  <cp:keywords/>
  <dc:description/>
  <cp:lastModifiedBy>McKeown, Denise</cp:lastModifiedBy>
  <cp:revision/>
  <dcterms:created xsi:type="dcterms:W3CDTF">2026-07-16T15:03:01Z</dcterms:created>
  <dcterms:modified xsi:type="dcterms:W3CDTF">2026-07-29T14:45:47Z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979fc8-5559-4f19-93ee-e28ca03d7638_Enabled">
    <vt:lpwstr>true</vt:lpwstr>
  </property>
  <property fmtid="{D5CDD505-2E9C-101B-9397-08002B2CF9AE}" pid="3" name="MSIP_Label_d0979fc8-5559-4f19-93ee-e28ca03d7638_SetDate">
    <vt:lpwstr>2026-07-16T15:04:18Z</vt:lpwstr>
  </property>
  <property fmtid="{D5CDD505-2E9C-101B-9397-08002B2CF9AE}" pid="4" name="MSIP_Label_d0979fc8-5559-4f19-93ee-e28ca03d7638_Method">
    <vt:lpwstr>Privileged</vt:lpwstr>
  </property>
  <property fmtid="{D5CDD505-2E9C-101B-9397-08002B2CF9AE}" pid="5" name="MSIP_Label_d0979fc8-5559-4f19-93ee-e28ca03d7638_Name">
    <vt:lpwstr>General Business Information (G)</vt:lpwstr>
  </property>
  <property fmtid="{D5CDD505-2E9C-101B-9397-08002B2CF9AE}" pid="6" name="MSIP_Label_d0979fc8-5559-4f19-93ee-e28ca03d7638_SiteId">
    <vt:lpwstr>906aefe9-76a7-4f65-b82d-5ec20775d5aa</vt:lpwstr>
  </property>
  <property fmtid="{D5CDD505-2E9C-101B-9397-08002B2CF9AE}" pid="7" name="MSIP_Label_d0979fc8-5559-4f19-93ee-e28ca03d7638_ActionId">
    <vt:lpwstr>1431904b-e42c-4037-8985-fca3acec3150</vt:lpwstr>
  </property>
  <property fmtid="{D5CDD505-2E9C-101B-9397-08002B2CF9AE}" pid="8" name="MSIP_Label_d0979fc8-5559-4f19-93ee-e28ca03d7638_ContentBits">
    <vt:lpwstr>0</vt:lpwstr>
  </property>
  <property fmtid="{D5CDD505-2E9C-101B-9397-08002B2CF9AE}" pid="9" name="MSIP_Label_d0979fc8-5559-4f19-93ee-e28ca03d7638_Tag">
    <vt:lpwstr>50, 0, 1, 1</vt:lpwstr>
  </property>
</Properties>
</file>